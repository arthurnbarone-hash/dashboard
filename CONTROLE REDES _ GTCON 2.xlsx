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EDIN | @nayradelduca" sheetId="1" r:id="rId1"/>
    <sheet name="LINKEDIN | @gtconbrasil" sheetId="2" r:id="rId2"/>
    <sheet name="INSTAGRAM | @gtconbrasil" sheetId="3" r:id="rId3"/>
    <sheet name="TIKTOK | @gtconbrasil" sheetId="4" r:id="rId4"/>
    <sheet name="YOUTUBE | @nayradelduca" sheetId="5" r:id="rId5"/>
    <sheet name="YOUTUBE | @gtconbrasil" sheetId="6" r:id="rId6"/>
    <sheet name="NEWSLETTER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/yyyy"/>
    <numFmt numFmtId="165" formatCode="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A1" t="str">
        <v>LINKEDIN | @nayradelduca</v>
      </c>
    </row>
    <row r="2">
      <c r="A2" t="str">
        <v>MÊS/ANO</v>
      </c>
      <c r="B2" t="str">
        <v>IMPRESSÕES</v>
      </c>
      <c r="C2" t="str">
        <v>ALCANCE</v>
      </c>
      <c r="D2" t="str">
        <v>SEGUIDORES</v>
      </c>
      <c r="E2" t="str">
        <v>COMENTÁRIOS</v>
      </c>
      <c r="F2" t="str">
        <v>COMPARTILHAMENTOS</v>
      </c>
      <c r="G2" t="str">
        <v>CRESCIMENTO. IMP/MÊS</v>
      </c>
      <c r="H2" t="str">
        <v>PORC. IMP/MÊS</v>
      </c>
      <c r="I2" t="str">
        <v>CRESCIMENTO ALC/MÊS</v>
      </c>
      <c r="J2" t="str">
        <v>PORC. ALC/MÊS</v>
      </c>
      <c r="K2" t="str">
        <v>CRESCIMENTO. SEG/MÊS</v>
      </c>
      <c r="L2" t="str">
        <v>PORC. SEG/MÊS</v>
      </c>
    </row>
    <row r="3">
      <c r="A3">
        <v>45961</v>
      </c>
      <c r="B3">
        <v>2678</v>
      </c>
      <c r="C3">
        <v>496</v>
      </c>
      <c r="D3">
        <v>744</v>
      </c>
      <c r="E3">
        <v>0</v>
      </c>
      <c r="F3">
        <v>0</v>
      </c>
      <c r="G3">
        <v>565</v>
      </c>
      <c r="I3">
        <v>358</v>
      </c>
      <c r="K3">
        <v>16</v>
      </c>
    </row>
    <row r="4">
      <c r="A4">
        <v>45991</v>
      </c>
      <c r="B4">
        <v>4424</v>
      </c>
      <c r="C4">
        <v>1579</v>
      </c>
      <c r="D4">
        <v>780</v>
      </c>
      <c r="E4">
        <v>19</v>
      </c>
      <c r="F4">
        <v>1</v>
      </c>
      <c r="G4">
        <f>B4-B3</f>
        <v>1746</v>
      </c>
      <c r="H4">
        <f>ABS(G4/G3)</f>
        <v>3.090265486725664</v>
      </c>
      <c r="I4">
        <f>C4-C3</f>
        <v>1083</v>
      </c>
      <c r="J4">
        <f>ABS(I4/I3)</f>
        <v>3.025139664804469</v>
      </c>
      <c r="K4">
        <f>D4-D3</f>
        <v>36</v>
      </c>
      <c r="L4">
        <f>ABS(K4/K3)</f>
        <v>2.25</v>
      </c>
    </row>
    <row r="5">
      <c r="A5">
        <v>46022</v>
      </c>
      <c r="B5">
        <v>4998</v>
      </c>
      <c r="C5">
        <v>1391</v>
      </c>
      <c r="D5">
        <v>833</v>
      </c>
      <c r="E5">
        <v>11</v>
      </c>
      <c r="F5">
        <v>2</v>
      </c>
      <c r="G5">
        <f>B5-B4</f>
        <v>574</v>
      </c>
      <c r="H5">
        <f>ABS(G5/G4)</f>
        <v>0.32875143184421535</v>
      </c>
      <c r="I5">
        <f>C5-C4</f>
        <v>-188</v>
      </c>
      <c r="J5">
        <f>ABS(I5/I4)</f>
        <v>0.17359187442289936</v>
      </c>
      <c r="K5">
        <f>D5-D4</f>
        <v>53</v>
      </c>
      <c r="L5">
        <f>ABS(K5/K4)</f>
        <v>1.4722222222222223</v>
      </c>
    </row>
    <row r="6">
      <c r="A6">
        <v>46023</v>
      </c>
      <c r="B6">
        <v>5951</v>
      </c>
      <c r="C6">
        <v>2383</v>
      </c>
      <c r="D6">
        <v>879</v>
      </c>
      <c r="E6">
        <v>16</v>
      </c>
      <c r="F6">
        <v>0</v>
      </c>
      <c r="G6">
        <f>B6-B5</f>
        <v>953</v>
      </c>
      <c r="H6">
        <f>ABS(G6/G5)</f>
        <v>1.6602787456445993</v>
      </c>
      <c r="I6">
        <f>C6-C5</f>
        <v>992</v>
      </c>
      <c r="J6">
        <f>ABS(I6/I5)</f>
        <v>5.276595744680851</v>
      </c>
      <c r="K6">
        <f>D6-D5</f>
        <v>46</v>
      </c>
      <c r="L6">
        <f>ABS(K6/K5)</f>
        <v>0.8679245283018868</v>
      </c>
    </row>
    <row r="7">
      <c r="A7">
        <v>46054</v>
      </c>
      <c r="B7">
        <v>6473</v>
      </c>
      <c r="C7">
        <v>2520</v>
      </c>
      <c r="D7">
        <v>930</v>
      </c>
      <c r="E7">
        <v>0</v>
      </c>
      <c r="F7">
        <v>1</v>
      </c>
      <c r="G7">
        <f>B7-B6</f>
        <v>522</v>
      </c>
      <c r="H7">
        <f>ABS(G7/G6)</f>
        <v>0.5477439664218258</v>
      </c>
      <c r="I7">
        <f>C7-C6</f>
        <v>137</v>
      </c>
      <c r="J7">
        <f>ABS(I7/I6)</f>
        <v>0.1381048387096774</v>
      </c>
      <c r="K7">
        <f>D7-D6</f>
        <v>51</v>
      </c>
      <c r="L7">
        <f>ABS(K7/K6)</f>
        <v>1.108695652173913</v>
      </c>
    </row>
    <row r="8">
      <c r="A8">
        <v>46082</v>
      </c>
      <c r="B8">
        <v>5760</v>
      </c>
      <c r="C8">
        <v>1939</v>
      </c>
      <c r="D8">
        <v>957</v>
      </c>
      <c r="E8">
        <v>10</v>
      </c>
      <c r="F8">
        <v>2</v>
      </c>
      <c r="G8">
        <f>B8-B7</f>
        <v>-713</v>
      </c>
      <c r="H8">
        <f>ABS(G8/G7)</f>
        <v>1.3659003831417624</v>
      </c>
      <c r="I8">
        <f>C8-C7</f>
        <v>-581</v>
      </c>
      <c r="J8">
        <f>ABS(I8/I7)</f>
        <v>4.240875912408759</v>
      </c>
      <c r="K8">
        <f>D8-D7</f>
        <v>27</v>
      </c>
      <c r="L8">
        <f>ABS(K8/K7)</f>
        <v>0.5294117647058824</v>
      </c>
    </row>
    <row r="9">
      <c r="A9">
        <v>46113</v>
      </c>
      <c r="B9">
        <v>7906</v>
      </c>
      <c r="C9">
        <v>2797</v>
      </c>
      <c r="D9">
        <v>992</v>
      </c>
      <c r="E9">
        <v>14</v>
      </c>
      <c r="F9">
        <v>0</v>
      </c>
      <c r="G9">
        <f>B9-B8</f>
        <v>2146</v>
      </c>
      <c r="H9">
        <f>ABS(G9/G8)</f>
        <v>3.0098176718092566</v>
      </c>
      <c r="I9">
        <f>C9-C8</f>
        <v>858</v>
      </c>
      <c r="J9">
        <f>ABS(I9/I8)</f>
        <v>1.4767641996557659</v>
      </c>
      <c r="K9">
        <f>D9-D8</f>
        <v>35</v>
      </c>
      <c r="L9">
        <f>ABS(K9/K8)</f>
        <v>1.2962962962962963</v>
      </c>
    </row>
    <row r="10">
      <c r="A10">
        <v>46143</v>
      </c>
      <c r="B10">
        <v>3175</v>
      </c>
      <c r="C10">
        <v>1308</v>
      </c>
      <c r="D10">
        <v>1019</v>
      </c>
      <c r="E10">
        <v>7</v>
      </c>
      <c r="F10">
        <v>0</v>
      </c>
      <c r="G10">
        <f>B10-B9</f>
        <v>-4731</v>
      </c>
      <c r="H10">
        <f>ABS(G10/G9)</f>
        <v>2.204566635601118</v>
      </c>
      <c r="I10">
        <f>C10-C9</f>
        <v>-1489</v>
      </c>
      <c r="J10">
        <f>ABS(I10/I9)</f>
        <v>1.7354312354312353</v>
      </c>
      <c r="K10">
        <f>D10-D9</f>
        <v>27</v>
      </c>
      <c r="L10">
        <f>ABS(K10/K9)</f>
        <v>0.7714285714285715</v>
      </c>
    </row>
    <row r="11">
      <c r="A11">
        <v>46174</v>
      </c>
      <c r="B11">
        <v>4634</v>
      </c>
      <c r="C11">
        <v>2064</v>
      </c>
      <c r="D11">
        <v>1049</v>
      </c>
      <c r="E11">
        <v>4</v>
      </c>
      <c r="F11">
        <v>0</v>
      </c>
      <c r="G11">
        <f>B11-B10</f>
        <v>1459</v>
      </c>
      <c r="H11">
        <f>ABS(G11/G10)</f>
        <v>0.3083914605791587</v>
      </c>
      <c r="I11">
        <f>C11-C10</f>
        <v>756</v>
      </c>
      <c r="J11">
        <f>ABS(I11/I10)</f>
        <v>0.5077233042310275</v>
      </c>
      <c r="K11">
        <f>D11-D10</f>
        <v>30</v>
      </c>
      <c r="L11">
        <f>ABS(K11/K10)</f>
        <v>1.1111111111111112</v>
      </c>
    </row>
  </sheetData>
  <mergeCells count="1">
    <mergeCell ref="A1:L1"/>
  </mergeCells>
  <pageMargins left="0.511811024" right="0.511811024" top="0.787401575" bottom="0.787401575" header="0.31496062" footer="0.31496062"/>
  <ignoredErrors>
    <ignoredError numberStoredAsText="1" sqref="A1:L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000"/>
  <sheetViews>
    <sheetView workbookViewId="0" rightToLeft="0"/>
  </sheetViews>
  <sheetData>
    <row r="1">
      <c r="A1" t="str">
        <v>LINKEDIN | @gtconbrasil</v>
      </c>
    </row>
    <row r="2">
      <c r="A2" t="str">
        <v>MÊS/ANO</v>
      </c>
      <c r="B2" t="str">
        <v>IMPRESSÕES</v>
      </c>
      <c r="C2" t="str">
        <v>REAÇÕES</v>
      </c>
      <c r="D2" t="str">
        <v>COMENTÁRIOS</v>
      </c>
      <c r="E2" t="str">
        <v>COMPARTILHAMENTOS</v>
      </c>
      <c r="F2" t="str">
        <v>SEGUIDORES</v>
      </c>
      <c r="G2" t="str">
        <v>CRESCIMENTO. IMP/MÊS</v>
      </c>
      <c r="H2" t="str">
        <v>PORC. IMP/MÊS</v>
      </c>
      <c r="I2" t="str">
        <v>CRESCIMENTO REAC/MÊS</v>
      </c>
      <c r="J2" t="str">
        <v>PORC. REAC/MÊS</v>
      </c>
      <c r="K2" t="str">
        <v>CRESCIMENTO. COM/MÊS</v>
      </c>
      <c r="L2" t="str">
        <v>PORC. COM/MÊS</v>
      </c>
      <c r="M2" t="str">
        <v>CRESCIMENTO. COMP/MÊS</v>
      </c>
      <c r="N2" t="str">
        <v>PORC. COMP/MÊS</v>
      </c>
      <c r="O2" t="str">
        <v>CRESCIMENTO. SEG/MÊS</v>
      </c>
      <c r="P2" t="str">
        <v>PORC. SEG/MÊS</v>
      </c>
    </row>
    <row r="3">
      <c r="A3">
        <v>45961</v>
      </c>
      <c r="B3">
        <v>1076</v>
      </c>
      <c r="C3">
        <v>1</v>
      </c>
      <c r="D3">
        <v>0</v>
      </c>
      <c r="E3">
        <v>0</v>
      </c>
      <c r="F3">
        <v>1742</v>
      </c>
      <c r="G3">
        <v>509</v>
      </c>
      <c r="I3">
        <v>1</v>
      </c>
      <c r="K3">
        <v>0</v>
      </c>
      <c r="M3">
        <v>0</v>
      </c>
      <c r="O3">
        <v>32</v>
      </c>
    </row>
    <row r="4">
      <c r="A4">
        <v>45991</v>
      </c>
      <c r="B4">
        <v>2630</v>
      </c>
      <c r="C4">
        <v>68</v>
      </c>
      <c r="D4">
        <v>0</v>
      </c>
      <c r="E4">
        <v>0</v>
      </c>
      <c r="F4">
        <v>1773</v>
      </c>
      <c r="G4">
        <f>B4-B3</f>
        <v>1554</v>
      </c>
      <c r="H4">
        <f>ABS(G4/G3)</f>
        <v>3.0530451866404715</v>
      </c>
      <c r="I4">
        <f>C4-C3</f>
        <v>67</v>
      </c>
      <c r="J4">
        <f>ABS(I4/I3)</f>
        <v>67</v>
      </c>
      <c r="K4">
        <f>D4-D3</f>
        <v>0</v>
      </c>
      <c r="L4" t="e">
        <f>ABS(K4/K3)</f>
        <v>#DIV/0!</v>
      </c>
      <c r="M4">
        <f>E4-E3</f>
        <v>0</v>
      </c>
      <c r="N4" t="e">
        <f>ABS(M4/M3)</f>
        <v>#DIV/0!</v>
      </c>
      <c r="O4">
        <f>F4-F3</f>
        <v>31</v>
      </c>
      <c r="P4">
        <f>ABS(O4/O3)</f>
        <v>0.96875</v>
      </c>
    </row>
    <row r="5">
      <c r="A5">
        <v>46022</v>
      </c>
      <c r="B5">
        <v>6456</v>
      </c>
      <c r="C5">
        <v>119</v>
      </c>
      <c r="D5">
        <v>6</v>
      </c>
      <c r="E5">
        <v>8</v>
      </c>
      <c r="F5">
        <v>1841</v>
      </c>
      <c r="G5">
        <f>B5-B4</f>
        <v>3826</v>
      </c>
      <c r="H5">
        <f>ABS(G5/G4)</f>
        <v>2.462033462033462</v>
      </c>
      <c r="I5">
        <f>C5-C4</f>
        <v>51</v>
      </c>
      <c r="J5">
        <f>ABS(I5/I4)</f>
        <v>0.7611940298507462</v>
      </c>
      <c r="K5">
        <f>D5-D4</f>
        <v>6</v>
      </c>
      <c r="L5" t="e">
        <f>ABS(K5/K4)</f>
        <v>#DIV/0!</v>
      </c>
      <c r="M5">
        <f>E5-E4</f>
        <v>8</v>
      </c>
      <c r="N5" t="e">
        <f>ABS(M5/M4)</f>
        <v>#DIV/0!</v>
      </c>
      <c r="O5">
        <f>F5-F4</f>
        <v>68</v>
      </c>
      <c r="P5">
        <f>ABS(O5/O4)</f>
        <v>2.193548387096774</v>
      </c>
    </row>
    <row r="6">
      <c r="A6">
        <v>46023</v>
      </c>
      <c r="B6">
        <v>4909</v>
      </c>
      <c r="C6">
        <v>104</v>
      </c>
      <c r="D6">
        <v>4</v>
      </c>
      <c r="E6">
        <v>2</v>
      </c>
      <c r="F6">
        <v>1908</v>
      </c>
      <c r="G6">
        <f>B6-B5</f>
        <v>-1547</v>
      </c>
      <c r="H6">
        <f>ABS(G6/G5)</f>
        <v>0.40433873497124934</v>
      </c>
      <c r="I6">
        <f>C6-C5</f>
        <v>-15</v>
      </c>
      <c r="J6">
        <f>ABS(I6/I5)</f>
        <v>0.29411764705882354</v>
      </c>
      <c r="K6">
        <f>D6-D5</f>
        <v>-2</v>
      </c>
      <c r="L6">
        <f>ABS(K6/K5)</f>
        <v>0.3333333333333333</v>
      </c>
      <c r="M6">
        <f>E6-E5</f>
        <v>-6</v>
      </c>
      <c r="N6">
        <f>ABS(M6/M5)</f>
        <v>0.75</v>
      </c>
      <c r="O6">
        <f>F6-F5</f>
        <v>67</v>
      </c>
      <c r="P6">
        <f>ABS(O6/O5)</f>
        <v>0.9852941176470589</v>
      </c>
    </row>
    <row r="7">
      <c r="A7">
        <v>46054</v>
      </c>
      <c r="B7">
        <v>12636</v>
      </c>
      <c r="C7">
        <v>249</v>
      </c>
      <c r="D7">
        <v>20</v>
      </c>
      <c r="E7">
        <v>5</v>
      </c>
      <c r="F7">
        <v>2150</v>
      </c>
      <c r="G7">
        <f>B7-B6</f>
        <v>7727</v>
      </c>
      <c r="H7">
        <f>ABS(G7/G6)</f>
        <v>4.994828700711054</v>
      </c>
      <c r="I7">
        <f>C7-C6</f>
        <v>145</v>
      </c>
      <c r="J7">
        <f>ABS(I7/I6)</f>
        <v>9.666666666666666</v>
      </c>
      <c r="K7">
        <f>D7-D6</f>
        <v>16</v>
      </c>
      <c r="L7">
        <f>ABS(K7/K6)</f>
        <v>8</v>
      </c>
      <c r="M7">
        <f>E7-E6</f>
        <v>3</v>
      </c>
      <c r="N7">
        <f>ABS(M7/M6)</f>
        <v>0.5</v>
      </c>
      <c r="O7">
        <f>F7-F6</f>
        <v>242</v>
      </c>
      <c r="P7">
        <f>ABS(O7/O6)</f>
        <v>3.611940298507463</v>
      </c>
    </row>
    <row r="8">
      <c r="A8">
        <v>46082</v>
      </c>
      <c r="B8">
        <v>9114</v>
      </c>
      <c r="C8">
        <v>154</v>
      </c>
      <c r="D8">
        <v>8</v>
      </c>
      <c r="E8">
        <v>2</v>
      </c>
      <c r="F8">
        <v>2290</v>
      </c>
      <c r="G8">
        <f>B8-B7</f>
        <v>-3522</v>
      </c>
      <c r="H8">
        <f>ABS(G8/G7)</f>
        <v>0.4558043225055002</v>
      </c>
      <c r="I8">
        <f>C8-C7</f>
        <v>-95</v>
      </c>
      <c r="J8">
        <f>ABS(I8/I7)</f>
        <v>0.6551724137931034</v>
      </c>
      <c r="K8">
        <f>D8-D7</f>
        <v>-12</v>
      </c>
      <c r="L8">
        <f>ABS(K8/K7)</f>
        <v>0.75</v>
      </c>
      <c r="M8">
        <f>E8-E7</f>
        <v>-3</v>
      </c>
      <c r="N8">
        <f>ABS(M8/M7)</f>
        <v>1</v>
      </c>
      <c r="O8">
        <f>F8-F7</f>
        <v>140</v>
      </c>
      <c r="P8">
        <f>ABS(O8/O7)</f>
        <v>0.5785123966942148</v>
      </c>
    </row>
    <row r="9">
      <c r="A9">
        <v>46113</v>
      </c>
      <c r="B9">
        <v>5215</v>
      </c>
      <c r="C9">
        <v>116</v>
      </c>
      <c r="D9">
        <v>2</v>
      </c>
      <c r="E9">
        <v>1</v>
      </c>
      <c r="F9">
        <v>2405</v>
      </c>
      <c r="G9">
        <f>B9-B8</f>
        <v>-3899</v>
      </c>
      <c r="H9">
        <f>ABS(G9/G8)</f>
        <v>1.1070414537194775</v>
      </c>
      <c r="I9">
        <f>C9-C8</f>
        <v>-38</v>
      </c>
      <c r="J9">
        <f>ABS(I9/I8)</f>
        <v>0.4</v>
      </c>
      <c r="K9">
        <f>D9-D8</f>
        <v>-6</v>
      </c>
      <c r="L9">
        <f>ABS(K9/K8)</f>
        <v>0.5</v>
      </c>
      <c r="M9">
        <f>E9-E8</f>
        <v>-1</v>
      </c>
      <c r="N9">
        <f>ABS(M9/M8)</f>
        <v>0.3333333333333333</v>
      </c>
      <c r="O9">
        <f>F9-F8</f>
        <v>115</v>
      </c>
      <c r="P9">
        <f>ABS(O9/O8)</f>
        <v>0.8214285714285714</v>
      </c>
    </row>
    <row r="10">
      <c r="A10">
        <v>46143</v>
      </c>
      <c r="B10">
        <v>4979</v>
      </c>
      <c r="C10">
        <v>35</v>
      </c>
      <c r="D10">
        <v>8</v>
      </c>
      <c r="E10">
        <v>0</v>
      </c>
      <c r="F10">
        <v>2441</v>
      </c>
      <c r="G10">
        <f>B10-B9</f>
        <v>-236</v>
      </c>
      <c r="H10">
        <f>ABS(G10/G9)</f>
        <v>0.060528340600153885</v>
      </c>
      <c r="I10">
        <f>C10-C9</f>
        <v>-81</v>
      </c>
      <c r="J10">
        <f>ABS(I10/I9)</f>
        <v>2.1315789473684212</v>
      </c>
      <c r="K10">
        <f>D10-D9</f>
        <v>6</v>
      </c>
      <c r="L10">
        <f>ABS(K10/K9)</f>
        <v>1</v>
      </c>
      <c r="M10">
        <f>E10-E9</f>
        <v>-1</v>
      </c>
      <c r="N10">
        <f>ABS(M10/M9)</f>
        <v>1</v>
      </c>
      <c r="O10">
        <f>F10-F9</f>
        <v>36</v>
      </c>
      <c r="P10">
        <f>ABS(O10/O9)</f>
        <v>0.3130434782608696</v>
      </c>
    </row>
    <row r="11">
      <c r="A11">
        <v>46174</v>
      </c>
      <c r="B11">
        <v>6124</v>
      </c>
      <c r="C11">
        <v>116</v>
      </c>
      <c r="D11">
        <v>1</v>
      </c>
      <c r="E11">
        <v>1</v>
      </c>
      <c r="F11">
        <v>2706</v>
      </c>
      <c r="G11">
        <f>B11-B10</f>
        <v>1145</v>
      </c>
      <c r="H11">
        <f>ABS(G11/G10)</f>
        <v>4.851694915254237</v>
      </c>
      <c r="I11">
        <f>C11-C10</f>
        <v>81</v>
      </c>
      <c r="J11">
        <f>ABS(I11/I10)</f>
        <v>1</v>
      </c>
      <c r="K11">
        <f>D11-D10</f>
        <v>-7</v>
      </c>
      <c r="L11">
        <f>ABS(K11/K10)</f>
        <v>1.1666666666666667</v>
      </c>
      <c r="M11">
        <f>E11-E10</f>
        <v>1</v>
      </c>
      <c r="N11">
        <f>ABS(M11/M10)</f>
        <v>1</v>
      </c>
      <c r="O11">
        <f>F11-F10</f>
        <v>265</v>
      </c>
      <c r="P11">
        <f>ABS(O11/O10)</f>
        <v>7.361111111111111</v>
      </c>
    </row>
  </sheetData>
  <mergeCells count="1">
    <mergeCell ref="A1:P1"/>
  </mergeCells>
  <pageMargins left="0.511811024" right="0.511811024" top="0.787401575" bottom="0.787401575" header="0.31496062" footer="0.31496062"/>
  <ignoredErrors>
    <ignoredError numberStoredAsText="1" sqref="A1:P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INSTAGRAM | @gtconbrasil</v>
      </c>
    </row>
    <row r="2">
      <c r="A2" t="str">
        <v>MÊS/ANO</v>
      </c>
      <c r="B2" t="str">
        <v>VISUALIZAÇÕES</v>
      </c>
      <c r="C2" t="str">
        <v>INTERAÇÕES</v>
      </c>
      <c r="D2" t="str">
        <v>CONT. COMPARTILHADO</v>
      </c>
      <c r="E2" t="str">
        <v>SEGUIDORES</v>
      </c>
      <c r="F2" t="str">
        <v>CRESCIMENTO SEG.</v>
      </c>
      <c r="G2" t="str">
        <v>PORC.SEG/MÊS</v>
      </c>
      <c r="H2" t="str">
        <v>CRESCIMENTO VIEWS</v>
      </c>
      <c r="I2" t="str">
        <v>PORC.VIEWS/MÊS</v>
      </c>
      <c r="J2" t="str">
        <v>CRESCIMENTO INTERAC.</v>
      </c>
      <c r="K2" t="str">
        <v>PORC. INT/MÊS</v>
      </c>
    </row>
    <row r="3">
      <c r="A3">
        <v>45961</v>
      </c>
      <c r="B3">
        <v>49578</v>
      </c>
      <c r="C3">
        <v>763</v>
      </c>
      <c r="D3">
        <v>14</v>
      </c>
      <c r="E3">
        <v>24419</v>
      </c>
      <c r="F3">
        <v>339</v>
      </c>
    </row>
    <row r="4">
      <c r="A4">
        <v>45991</v>
      </c>
      <c r="B4">
        <v>66367</v>
      </c>
      <c r="C4">
        <v>699</v>
      </c>
      <c r="D4">
        <v>19</v>
      </c>
      <c r="E4">
        <v>24841</v>
      </c>
      <c r="F4">
        <f>E4-E3</f>
        <v>422</v>
      </c>
      <c r="G4">
        <f>ABS(F4/F3)</f>
        <v>1.2448377581120944</v>
      </c>
      <c r="H4">
        <f>B4-B3</f>
        <v>16789</v>
      </c>
      <c r="J4">
        <f>C4-C3</f>
        <v>-64</v>
      </c>
    </row>
    <row r="5">
      <c r="A5">
        <v>46022</v>
      </c>
      <c r="B5">
        <v>93753</v>
      </c>
      <c r="C5">
        <v>1124</v>
      </c>
      <c r="D5">
        <v>20</v>
      </c>
      <c r="E5">
        <v>25114</v>
      </c>
      <c r="F5">
        <f>E5-E4</f>
        <v>273</v>
      </c>
      <c r="G5">
        <f>ABS(F5/F4)</f>
        <v>0.6469194312796208</v>
      </c>
      <c r="H5">
        <f>B5-B4</f>
        <v>27386</v>
      </c>
      <c r="I5">
        <f>H5/H4</f>
        <v>1.6311870867830127</v>
      </c>
      <c r="J5">
        <f>C5-C4</f>
        <v>425</v>
      </c>
      <c r="K5">
        <f>ABS(J5/J4)</f>
        <v>6.640625</v>
      </c>
    </row>
    <row r="6">
      <c r="A6">
        <v>46023</v>
      </c>
      <c r="B6">
        <v>103710</v>
      </c>
      <c r="C6">
        <v>3856</v>
      </c>
      <c r="D6">
        <v>51</v>
      </c>
      <c r="E6">
        <v>25400</v>
      </c>
      <c r="F6">
        <f>E6-E5</f>
        <v>286</v>
      </c>
      <c r="G6">
        <f>ABS(F6/F5)</f>
        <v>1.0476190476190477</v>
      </c>
      <c r="H6">
        <f>B6-B5</f>
        <v>9957</v>
      </c>
      <c r="I6">
        <f>H6/H5</f>
        <v>0.36357993135178557</v>
      </c>
      <c r="J6">
        <f>C6-C5</f>
        <v>2732</v>
      </c>
      <c r="K6">
        <f>ABS(J6/J5)</f>
        <v>6.4282352941176475</v>
      </c>
    </row>
    <row r="7">
      <c r="A7">
        <v>46054</v>
      </c>
      <c r="B7">
        <v>209036</v>
      </c>
      <c r="C7">
        <v>30402</v>
      </c>
      <c r="D7">
        <v>50</v>
      </c>
      <c r="E7">
        <v>25515</v>
      </c>
      <c r="F7">
        <f>E7-E6</f>
        <v>115</v>
      </c>
      <c r="G7">
        <f>ABS(F7/F6)</f>
        <v>0.4020979020979021</v>
      </c>
      <c r="H7">
        <f>B7-B6</f>
        <v>105326</v>
      </c>
      <c r="I7">
        <f>H7/H6</f>
        <v>10.578085768805865</v>
      </c>
      <c r="J7">
        <f>C7-C6</f>
        <v>26546</v>
      </c>
      <c r="K7">
        <f>ABS(J7/J6)</f>
        <v>9.716691068814056</v>
      </c>
    </row>
    <row r="8">
      <c r="A8">
        <v>46082</v>
      </c>
      <c r="B8">
        <v>75631</v>
      </c>
      <c r="C8">
        <v>1648</v>
      </c>
      <c r="D8">
        <v>38</v>
      </c>
      <c r="E8">
        <v>25611</v>
      </c>
      <c r="F8">
        <f>E8-E7</f>
        <v>96</v>
      </c>
      <c r="G8">
        <f>ABS(F8/F7)</f>
        <v>0.8347826086956521</v>
      </c>
      <c r="H8">
        <f>B8-B7</f>
        <v>-133405</v>
      </c>
      <c r="I8">
        <f>H8/H7</f>
        <v>-1.2665913449670547</v>
      </c>
      <c r="J8">
        <f>C8-C7</f>
        <v>-28754</v>
      </c>
      <c r="K8">
        <f>ABS(J8/J7)</f>
        <v>1.0831763730882242</v>
      </c>
    </row>
    <row r="9">
      <c r="A9">
        <v>46113</v>
      </c>
      <c r="B9">
        <v>86894</v>
      </c>
      <c r="C9">
        <v>1912</v>
      </c>
      <c r="D9">
        <v>30</v>
      </c>
      <c r="E9">
        <v>25958</v>
      </c>
      <c r="F9">
        <f>E9-E8</f>
        <v>347</v>
      </c>
      <c r="G9">
        <f>ABS(F9/F8)</f>
        <v>3.6145833333333335</v>
      </c>
      <c r="H9">
        <f>B9-B8</f>
        <v>11263</v>
      </c>
      <c r="I9">
        <f>ABS(H9/H8)</f>
        <v>0.08442712042277276</v>
      </c>
      <c r="J9">
        <f>C9-C8</f>
        <v>264</v>
      </c>
      <c r="K9">
        <f>ABS(J9/J8)</f>
        <v>0.009181331293037491</v>
      </c>
    </row>
    <row r="10">
      <c r="A10">
        <v>46143</v>
      </c>
      <c r="B10">
        <v>40038</v>
      </c>
      <c r="C10">
        <v>944</v>
      </c>
      <c r="D10">
        <v>24</v>
      </c>
      <c r="E10">
        <v>25970</v>
      </c>
      <c r="F10">
        <f>E10-E9</f>
        <v>12</v>
      </c>
      <c r="G10">
        <f>ABS(F10/F9)</f>
        <v>0.0345821325648415</v>
      </c>
      <c r="H10">
        <f>B10-B9</f>
        <v>-46856</v>
      </c>
      <c r="I10">
        <f>ABS(H10/H9)</f>
        <v>4.160170469679482</v>
      </c>
      <c r="J10">
        <f>C10-C9</f>
        <v>-968</v>
      </c>
      <c r="K10">
        <f>ABS(J10/J9)</f>
        <v>3.6666666666666665</v>
      </c>
    </row>
    <row r="11">
      <c r="A11">
        <v>46174</v>
      </c>
      <c r="B11">
        <v>90740</v>
      </c>
      <c r="C11">
        <v>2580</v>
      </c>
      <c r="D11">
        <v>30</v>
      </c>
      <c r="E11">
        <v>26052</v>
      </c>
      <c r="F11">
        <f>E11-E10</f>
        <v>82</v>
      </c>
      <c r="G11">
        <f>ABS(F11/F10)</f>
        <v>6.833333333333333</v>
      </c>
      <c r="H11">
        <f>B11-B10</f>
        <v>50702</v>
      </c>
      <c r="I11">
        <f>ABS(H11/H10)</f>
        <v>1.0820812702748848</v>
      </c>
      <c r="J11">
        <f>C11-C10</f>
        <v>1636</v>
      </c>
      <c r="K11">
        <f>ABS(J11/J10)</f>
        <v>1.6900826446280992</v>
      </c>
    </row>
  </sheetData>
  <mergeCells count="1">
    <mergeCell ref="A1:K1"/>
  </mergeCells>
  <pageMargins left="0.511811024" right="0.511811024" top="0.787401575" bottom="0.787401575" header="0.31496062" footer="0.31496062"/>
  <ignoredErrors>
    <ignoredError numberStoredAsText="1" sqref="A1:K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TIKTOK | @gtconbrasil</v>
      </c>
    </row>
    <row r="2">
      <c r="A2" t="str">
        <v>MÊS/ANO</v>
      </c>
      <c r="B2" t="str">
        <v>VISUALIZAÇÕES</v>
      </c>
      <c r="C2" t="str">
        <v>CURTIDAS</v>
      </c>
      <c r="D2" t="str">
        <v>CONT. COMPARTILHADO</v>
      </c>
      <c r="E2" t="str">
        <v>SEGUIDORES</v>
      </c>
      <c r="F2" t="str">
        <v>CRESCIMENTO SEG.</v>
      </c>
      <c r="G2" t="str">
        <v>PORC.SEG/MÊS</v>
      </c>
      <c r="H2" t="str">
        <v>CRESCIMENTO VIEWS</v>
      </c>
      <c r="I2" t="str">
        <v>PORC.VIEWS/MÊS</v>
      </c>
      <c r="J2" t="str">
        <v>CRESCIMENTO INTERAC.</v>
      </c>
      <c r="K2" t="str">
        <v>PORC. INT/MÊS</v>
      </c>
    </row>
    <row r="3">
      <c r="A3">
        <v>46357</v>
      </c>
      <c r="B3">
        <v>538</v>
      </c>
      <c r="C3">
        <v>19</v>
      </c>
      <c r="D3">
        <v>0</v>
      </c>
      <c r="E3">
        <v>874</v>
      </c>
    </row>
    <row r="4">
      <c r="A4">
        <v>46023</v>
      </c>
      <c r="B4">
        <v>32217</v>
      </c>
      <c r="C4">
        <v>838</v>
      </c>
      <c r="D4">
        <v>70</v>
      </c>
      <c r="E4">
        <v>991</v>
      </c>
      <c r="F4">
        <f>E4-E3</f>
        <v>117</v>
      </c>
      <c r="H4">
        <f>B4-B3</f>
        <v>31679</v>
      </c>
      <c r="J4">
        <f>C4-C3</f>
        <v>819</v>
      </c>
    </row>
    <row r="5">
      <c r="A5">
        <v>46054</v>
      </c>
      <c r="B5">
        <v>127342</v>
      </c>
      <c r="C5">
        <v>2577</v>
      </c>
      <c r="D5">
        <v>94</v>
      </c>
      <c r="E5">
        <v>1363</v>
      </c>
      <c r="F5">
        <f>E5-E4</f>
        <v>372</v>
      </c>
      <c r="G5">
        <f>ABS(F5/F4)</f>
        <v>3.1794871794871793</v>
      </c>
      <c r="H5">
        <f>B5-B4</f>
        <v>95125</v>
      </c>
      <c r="I5">
        <f>H5/H4</f>
        <v>3.002777865462925</v>
      </c>
      <c r="J5">
        <f>C5-C4</f>
        <v>1739</v>
      </c>
      <c r="K5">
        <f>ABS(J5/J4)</f>
        <v>2.1233211233211233</v>
      </c>
    </row>
    <row r="6">
      <c r="A6">
        <v>46082</v>
      </c>
      <c r="B6">
        <v>109942</v>
      </c>
      <c r="C6">
        <v>1711</v>
      </c>
      <c r="D6">
        <v>102</v>
      </c>
      <c r="E6">
        <v>1588</v>
      </c>
      <c r="F6">
        <f>E6-E5</f>
        <v>225</v>
      </c>
      <c r="G6">
        <f>ABS(F6/F5)</f>
        <v>0.6048387096774194</v>
      </c>
      <c r="H6">
        <f>B6-B5</f>
        <v>-17400</v>
      </c>
      <c r="I6">
        <f>H6/H5</f>
        <v>-0.18291721419185283</v>
      </c>
      <c r="J6">
        <f>C6-C5</f>
        <v>-866</v>
      </c>
      <c r="K6">
        <f>ABS(J6/J5)</f>
        <v>0.49798734905117886</v>
      </c>
    </row>
    <row r="7">
      <c r="A7">
        <v>46113</v>
      </c>
      <c r="B7">
        <v>122292</v>
      </c>
      <c r="C7">
        <v>2646</v>
      </c>
      <c r="D7">
        <v>102</v>
      </c>
      <c r="E7">
        <v>1751</v>
      </c>
      <c r="F7">
        <f>E7-E6</f>
        <v>163</v>
      </c>
      <c r="G7">
        <f>ABS(F7/F6)</f>
        <v>0.7244444444444444</v>
      </c>
      <c r="H7">
        <f>B7-B6</f>
        <v>12350</v>
      </c>
      <c r="I7">
        <f>H7/H6</f>
        <v>-0.7097701149425287</v>
      </c>
      <c r="J7">
        <f>C7-C6</f>
        <v>935</v>
      </c>
      <c r="K7">
        <f>ABS(J7/J6)</f>
        <v>1.079676674364896</v>
      </c>
    </row>
    <row r="8">
      <c r="A8">
        <v>46143</v>
      </c>
      <c r="B8">
        <v>184800</v>
      </c>
      <c r="C8">
        <v>2731</v>
      </c>
      <c r="D8">
        <v>93</v>
      </c>
      <c r="E8">
        <v>2178</v>
      </c>
      <c r="F8">
        <f>E8-E7</f>
        <v>427</v>
      </c>
      <c r="G8">
        <f>ABS(F8/F7)</f>
        <v>2.6196319018404908</v>
      </c>
      <c r="H8">
        <f>B8-B7</f>
        <v>62508</v>
      </c>
      <c r="I8">
        <f>H8/H7</f>
        <v>5.061376518218624</v>
      </c>
      <c r="J8">
        <f>C8-C7</f>
        <v>85</v>
      </c>
      <c r="K8">
        <f>ABS(J8/J7)</f>
        <v>0.09090909090909091</v>
      </c>
    </row>
    <row r="9">
      <c r="A9">
        <v>46174</v>
      </c>
      <c r="B9">
        <v>168987</v>
      </c>
      <c r="C9">
        <v>3914</v>
      </c>
      <c r="D9">
        <v>99</v>
      </c>
      <c r="E9">
        <v>3027</v>
      </c>
      <c r="F9">
        <f>E9-E8</f>
        <v>849</v>
      </c>
      <c r="G9">
        <f>ABS(F9/F8)</f>
        <v>1.9882903981264637</v>
      </c>
      <c r="H9">
        <f>B9-B8</f>
        <v>-15813</v>
      </c>
      <c r="I9">
        <f>H9/H8</f>
        <v>-0.25297561912075256</v>
      </c>
      <c r="J9">
        <f>C9-C8</f>
        <v>1183</v>
      </c>
      <c r="K9">
        <f>ABS(J9/J8)</f>
        <v>13.91764705882353</v>
      </c>
    </row>
  </sheetData>
  <mergeCells count="1">
    <mergeCell ref="A1:K1"/>
  </mergeCells>
  <pageMargins left="0.511811024" right="0.511811024" top="0.787401575" bottom="0.787401575" header="0.31496062" footer="0.31496062"/>
  <ignoredErrors>
    <ignoredError numberStoredAsText="1" sqref="A1:K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2"/>
  <sheetViews>
    <sheetView workbookViewId="0" rightToLeft="0"/>
  </sheetViews>
  <sheetData>
    <row r="1">
      <c r="A1" t="str">
        <v>YOUTUBE | @nayradelduca</v>
      </c>
    </row>
    <row r="2">
      <c r="A2" t="str">
        <v>MÊS/ANO</v>
      </c>
      <c r="B2" t="str">
        <v>VISUALIZAÇÕES</v>
      </c>
      <c r="C2" t="str">
        <v>INSCRITOS</v>
      </c>
      <c r="D2" t="str">
        <v>CRESCIMENTO INSC.</v>
      </c>
      <c r="E2" t="str">
        <v>PORC. INSC/MÊS</v>
      </c>
    </row>
    <row r="3">
      <c r="A3">
        <v>45961</v>
      </c>
      <c r="B3">
        <v>13438</v>
      </c>
      <c r="C3">
        <v>1333</v>
      </c>
      <c r="D3">
        <v>144</v>
      </c>
    </row>
    <row r="4">
      <c r="A4">
        <v>45991</v>
      </c>
      <c r="B4">
        <v>20622</v>
      </c>
      <c r="C4">
        <v>2245</v>
      </c>
      <c r="D4">
        <f>C4-C3</f>
        <v>912</v>
      </c>
      <c r="E4">
        <f>ABS(D4/D3)</f>
        <v>6.333333333333333</v>
      </c>
    </row>
    <row r="5">
      <c r="A5">
        <v>46022</v>
      </c>
      <c r="B5">
        <v>13072</v>
      </c>
      <c r="C5">
        <v>2738</v>
      </c>
      <c r="D5">
        <f>C5-C4</f>
        <v>493</v>
      </c>
      <c r="E5">
        <f>ABS(D5/D4)</f>
        <v>0.5405701754385965</v>
      </c>
    </row>
    <row r="6">
      <c r="A6">
        <v>46023</v>
      </c>
      <c r="B6">
        <v>113715</v>
      </c>
      <c r="C6">
        <v>5700</v>
      </c>
      <c r="D6">
        <f>C6-C5</f>
        <v>2962</v>
      </c>
      <c r="E6">
        <f>ABS(D6/D5)</f>
        <v>6.008113590263692</v>
      </c>
    </row>
    <row r="7">
      <c r="A7">
        <v>46054</v>
      </c>
      <c r="B7">
        <v>114682</v>
      </c>
      <c r="C7">
        <v>6989</v>
      </c>
      <c r="D7">
        <f>C7-C6</f>
        <v>1289</v>
      </c>
      <c r="E7">
        <f>ABS(D7/D6)</f>
        <v>0.4351789331532748</v>
      </c>
    </row>
    <row r="8">
      <c r="A8">
        <v>46082</v>
      </c>
      <c r="B8">
        <v>71867</v>
      </c>
      <c r="C8">
        <v>7459</v>
      </c>
      <c r="D8">
        <f>C8-C7</f>
        <v>470</v>
      </c>
      <c r="E8">
        <f>ABS(D8/D7)</f>
        <v>0.3646237393328161</v>
      </c>
    </row>
    <row r="9">
      <c r="A9">
        <v>46113</v>
      </c>
      <c r="B9">
        <v>873493</v>
      </c>
      <c r="C9">
        <v>8599</v>
      </c>
      <c r="D9">
        <f>C9-C8</f>
        <v>1140</v>
      </c>
      <c r="E9">
        <f>ABS(D9/D8)</f>
        <v>2.425531914893617</v>
      </c>
    </row>
    <row r="10">
      <c r="A10">
        <v>46143</v>
      </c>
      <c r="B10">
        <v>721336</v>
      </c>
      <c r="C10">
        <v>10394</v>
      </c>
      <c r="D10">
        <f>C10-C9</f>
        <v>1795</v>
      </c>
      <c r="E10">
        <f>ABS(D10/D9)</f>
        <v>1.5745614035087718</v>
      </c>
    </row>
    <row r="11">
      <c r="A11">
        <v>46174</v>
      </c>
      <c r="B11">
        <v>1329304</v>
      </c>
      <c r="C11">
        <v>12745</v>
      </c>
      <c r="D11">
        <f>C11-C10</f>
        <v>2351</v>
      </c>
      <c r="E11">
        <f>ABS(D11/D10)</f>
        <v>1.3097493036211698</v>
      </c>
    </row>
  </sheetData>
  <mergeCells count="1">
    <mergeCell ref="A1:E1"/>
  </mergeCells>
  <pageMargins left="0.511811024" right="0.511811024" top="0.787401575" bottom="0.787401575" header="0.31496062" footer="0.31496062"/>
  <ignoredErrors>
    <ignoredError numberStoredAsText="1" sqref="A1:E1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32"/>
  <sheetViews>
    <sheetView workbookViewId="0" rightToLeft="0"/>
  </sheetViews>
  <sheetData>
    <row r="1">
      <c r="A1" t="str">
        <v>YOUTUBE | @gtconbrasil</v>
      </c>
    </row>
    <row r="2">
      <c r="A2" t="str">
        <v>MÊS/ANO</v>
      </c>
      <c r="B2" t="str">
        <v>VISUALIZAÇÕES</v>
      </c>
      <c r="C2" t="str">
        <v>INSCRITOS</v>
      </c>
      <c r="D2" t="str">
        <v>CRESCIMENTO INSC.</v>
      </c>
      <c r="E2" t="str">
        <v>PORC. INSC/MÊS</v>
      </c>
    </row>
    <row r="3">
      <c r="A3">
        <v>45961</v>
      </c>
      <c r="B3">
        <v>13286</v>
      </c>
      <c r="C3">
        <v>3551</v>
      </c>
      <c r="D3">
        <v>144</v>
      </c>
    </row>
    <row r="4">
      <c r="A4">
        <v>45991</v>
      </c>
      <c r="B4">
        <v>13471</v>
      </c>
      <c r="C4">
        <v>3578</v>
      </c>
      <c r="D4">
        <f>C4-C3</f>
        <v>27</v>
      </c>
      <c r="E4">
        <f>ABS(D4/D3)</f>
        <v>0.1875</v>
      </c>
    </row>
    <row r="5">
      <c r="A5">
        <v>46022</v>
      </c>
      <c r="B5">
        <v>23213</v>
      </c>
      <c r="C5">
        <v>3632</v>
      </c>
      <c r="D5">
        <f>C5-C4</f>
        <v>54</v>
      </c>
      <c r="E5">
        <f>ABS(D5/D4)</f>
        <v>2</v>
      </c>
    </row>
    <row r="6">
      <c r="A6">
        <v>46023</v>
      </c>
      <c r="B6">
        <v>40116</v>
      </c>
      <c r="C6">
        <v>3717</v>
      </c>
      <c r="D6">
        <f>C6-C5</f>
        <v>85</v>
      </c>
      <c r="E6">
        <f>ABS(D6/D5)</f>
        <v>1.5740740740740742</v>
      </c>
    </row>
    <row r="7">
      <c r="A7">
        <v>46054</v>
      </c>
      <c r="B7">
        <v>24084</v>
      </c>
      <c r="C7">
        <v>3763</v>
      </c>
      <c r="D7">
        <f>C7-C6</f>
        <v>46</v>
      </c>
      <c r="E7">
        <f>ABS(D7/D6)</f>
        <v>0.5411764705882353</v>
      </c>
    </row>
    <row r="8">
      <c r="A8">
        <v>46082</v>
      </c>
      <c r="B8">
        <v>24946</v>
      </c>
      <c r="C8">
        <v>3824</v>
      </c>
      <c r="D8">
        <f>C8-C7</f>
        <v>61</v>
      </c>
      <c r="E8">
        <f>ABS(D8/D7)</f>
        <v>1.326086956521739</v>
      </c>
    </row>
    <row r="9">
      <c r="A9">
        <v>46113</v>
      </c>
      <c r="B9">
        <v>22420</v>
      </c>
      <c r="C9">
        <v>3885</v>
      </c>
      <c r="D9">
        <f>C9-C8</f>
        <v>61</v>
      </c>
      <c r="E9">
        <f>ABS(D9/D8)</f>
        <v>1</v>
      </c>
    </row>
    <row r="10">
      <c r="A10">
        <v>46143</v>
      </c>
      <c r="B10">
        <v>22126</v>
      </c>
      <c r="C10">
        <v>3916</v>
      </c>
      <c r="D10">
        <f>C10-C9</f>
        <v>31</v>
      </c>
      <c r="E10">
        <f>ABS(D10/D9)</f>
        <v>0.5081967213114754</v>
      </c>
    </row>
    <row r="11">
      <c r="A11">
        <v>46174</v>
      </c>
      <c r="B11">
        <v>35592</v>
      </c>
      <c r="C11">
        <v>3949</v>
      </c>
      <c r="D11">
        <f>C11-C10</f>
        <v>33</v>
      </c>
      <c r="E11">
        <f>ABS(D11/D10)</f>
        <v>1.064516129032258</v>
      </c>
    </row>
  </sheetData>
  <mergeCells count="1">
    <mergeCell ref="A1:E1"/>
  </mergeCells>
  <pageMargins left="0.511811024" right="0.511811024" top="0.787401575" bottom="0.787401575" header="0.31496062" footer="0.31496062"/>
  <ignoredErrors>
    <ignoredError numberStoredAsText="1" sqref="A1:E1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cols>
    <col min="1" max="1" width="12.83203125" customWidth="1"/>
    <col min="2" max="2" width="25.83203125" customWidth="1"/>
    <col min="3" max="3" width="14.83203125" customWidth="1"/>
    <col min="4" max="4" width="20.83203125" customWidth="1"/>
  </cols>
  <sheetData>
    <row r="1">
      <c r="A1" t="str">
        <v>NEWSLETTER</v>
      </c>
    </row>
    <row r="2">
      <c r="A2" t="str">
        <v>MÊS/ANO</v>
      </c>
      <c r="B2" t="str">
        <v>VISUALIZAÇÕES DO ARTIGO</v>
      </c>
      <c r="C2" t="str">
        <v>ENGAJAMENTO</v>
      </c>
      <c r="D2" t="str">
        <v>NOVOS ASSINANTES</v>
      </c>
    </row>
    <row r="3">
      <c r="A3">
        <v>46082</v>
      </c>
      <c r="B3">
        <v>0</v>
      </c>
      <c r="C3">
        <v>0</v>
      </c>
      <c r="D3">
        <v>0</v>
      </c>
    </row>
    <row r="4">
      <c r="A4">
        <v>46113</v>
      </c>
      <c r="B4">
        <v>345</v>
      </c>
      <c r="C4">
        <v>16</v>
      </c>
      <c r="D4">
        <v>719</v>
      </c>
    </row>
    <row r="5">
      <c r="A5">
        <v>46143</v>
      </c>
      <c r="B5">
        <v>363</v>
      </c>
      <c r="C5">
        <v>9</v>
      </c>
      <c r="D5">
        <v>84</v>
      </c>
    </row>
    <row r="6">
      <c r="A6">
        <v>46174</v>
      </c>
      <c r="B6">
        <v>688</v>
      </c>
      <c r="C6">
        <v>17</v>
      </c>
      <c r="D6">
        <v>128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LINKEDIN | @nayradelduca</vt:lpstr>
      <vt:lpstr>LINKEDIN | @gtconbrasil</vt:lpstr>
      <vt:lpstr>INSTAGRAM | @gtconbrasil</vt:lpstr>
      <vt:lpstr>TIKTOK | @gtconbrasil</vt:lpstr>
      <vt:lpstr>YOUTUBE | @nayradelduca</vt:lpstr>
      <vt:lpstr>YOUTUBE | @gtconbrasil</vt:lpstr>
      <vt:lpstr>NEWSLETTER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2026-07-02T12:48:27Z</dcterms:modified>
  <cp:lastModifiedBy>Arthur Barone | Marketing</cp:lastModifiedBy>
</cp:coreProperties>
</file>